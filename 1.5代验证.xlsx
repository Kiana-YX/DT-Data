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827"/>
  <workbookPr filterPrivacy="1" defaultThemeVersion="124226"/>
  <xr:revisionPtr revIDLastSave="0" documentId="13_ncr:1_{929A722E-0C80-4B4C-A365-F37F408677FE}" xr6:coauthVersionLast="45" xr6:coauthVersionMax="45" xr10:uidLastSave="{00000000-0000-0000-0000-000000000000}"/>
  <bookViews>
    <workbookView xWindow="-110" yWindow="-110" windowWidth="19420" windowHeight="10420" activeTab="3" xr2:uid="{00000000-000D-0000-FFFF-FFFF00000000}"/>
  </bookViews>
  <sheets>
    <sheet name="4号" sheetId="1" r:id="rId1"/>
    <sheet name="5号" sheetId="3" r:id="rId2"/>
    <sheet name="2号" sheetId="4" r:id="rId3"/>
    <sheet name="3号" sheetId="5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" i="5" l="1"/>
  <c r="E6" i="5" s="1"/>
  <c r="C26" i="5"/>
  <c r="C27" i="5"/>
  <c r="C28" i="5"/>
  <c r="C29" i="5"/>
  <c r="C30" i="5"/>
  <c r="C31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3" i="5"/>
  <c r="D23" i="4"/>
  <c r="D24" i="4"/>
  <c r="D25" i="4"/>
  <c r="D26" i="4"/>
  <c r="D27" i="4"/>
  <c r="D28" i="4"/>
  <c r="D14" i="4"/>
  <c r="D15" i="4"/>
  <c r="D16" i="4"/>
  <c r="D17" i="4"/>
  <c r="D18" i="4"/>
  <c r="D19" i="4"/>
  <c r="D20" i="4"/>
  <c r="D21" i="4"/>
  <c r="D22" i="4"/>
  <c r="D11" i="4"/>
  <c r="D12" i="4"/>
  <c r="D13" i="4"/>
  <c r="D10" i="4"/>
  <c r="G3" i="4"/>
  <c r="E27" i="5" l="1"/>
  <c r="E19" i="5"/>
  <c r="E11" i="5"/>
  <c r="E26" i="5"/>
  <c r="E18" i="5"/>
  <c r="E10" i="5"/>
  <c r="E21" i="5"/>
  <c r="E13" i="5"/>
  <c r="E28" i="5"/>
  <c r="E4" i="5"/>
  <c r="E32" i="5"/>
  <c r="E7" i="5"/>
  <c r="E29" i="5"/>
  <c r="E5" i="5"/>
  <c r="E20" i="5"/>
  <c r="E12" i="5"/>
  <c r="E25" i="5"/>
  <c r="E17" i="5"/>
  <c r="E9" i="5"/>
  <c r="E24" i="5"/>
  <c r="E16" i="5"/>
  <c r="E8" i="5"/>
  <c r="E31" i="5"/>
  <c r="E23" i="5"/>
  <c r="E15" i="5"/>
  <c r="E30" i="5"/>
  <c r="E22" i="5"/>
  <c r="E14" i="5"/>
  <c r="E7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2" i="3"/>
  <c r="D14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<sst xmlns="http://schemas.openxmlformats.org/spreadsheetml/2006/main" count="6" uniqueCount="6">
  <si>
    <t>实际值</t>
  </si>
  <si>
    <t>返回值</t>
    <phoneticPr fontId="1" type="noConversion"/>
  </si>
  <si>
    <t>差值</t>
    <phoneticPr fontId="1" type="noConversion"/>
  </si>
  <si>
    <t>矫正差值</t>
    <phoneticPr fontId="1" type="noConversion"/>
  </si>
  <si>
    <t>DT背面据前端距离42.3mm</t>
    <phoneticPr fontId="1" type="noConversion"/>
  </si>
  <si>
    <t>实际值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</si>
</sst>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0_ "/>
  </numFmts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#,##0.0000000000_);[Red]\(#,##0.0000000000\)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'5号'!$A$2:$A$28</c:f>
              <c:numCache>
                <c:formatCode>General</c:formatCode>
                <c:ptCount val="27"/>
                <c:pt idx="0">
                  <c:v>193</c:v>
                </c:pt>
                <c:pt idx="1">
                  <c:v>346</c:v>
                </c:pt>
                <c:pt idx="2">
                  <c:v>496</c:v>
                </c:pt>
                <c:pt idx="3">
                  <c:v>646</c:v>
                </c:pt>
                <c:pt idx="4">
                  <c:v>795</c:v>
                </c:pt>
                <c:pt idx="5">
                  <c:v>945</c:v>
                </c:pt>
                <c:pt idx="6">
                  <c:v>1099</c:v>
                </c:pt>
                <c:pt idx="7">
                  <c:v>1248</c:v>
                </c:pt>
                <c:pt idx="8">
                  <c:v>1398</c:v>
                </c:pt>
                <c:pt idx="9">
                  <c:v>1551</c:v>
                </c:pt>
                <c:pt idx="10">
                  <c:v>1701</c:v>
                </c:pt>
                <c:pt idx="11">
                  <c:v>1850</c:v>
                </c:pt>
                <c:pt idx="12">
                  <c:v>2000</c:v>
                </c:pt>
                <c:pt idx="13">
                  <c:v>2150</c:v>
                </c:pt>
                <c:pt idx="14">
                  <c:v>2299</c:v>
                </c:pt>
                <c:pt idx="15">
                  <c:v>2450</c:v>
                </c:pt>
                <c:pt idx="16">
                  <c:v>2599</c:v>
                </c:pt>
                <c:pt idx="17">
                  <c:v>2748</c:v>
                </c:pt>
                <c:pt idx="18">
                  <c:v>2898</c:v>
                </c:pt>
                <c:pt idx="19">
                  <c:v>3049</c:v>
                </c:pt>
                <c:pt idx="20">
                  <c:v>3199</c:v>
                </c:pt>
                <c:pt idx="21">
                  <c:v>3352</c:v>
                </c:pt>
                <c:pt idx="22">
                  <c:v>3501</c:v>
                </c:pt>
                <c:pt idx="23">
                  <c:v>3651</c:v>
                </c:pt>
                <c:pt idx="24">
                  <c:v>3801</c:v>
                </c:pt>
                <c:pt idx="25">
                  <c:v>3950</c:v>
                </c:pt>
                <c:pt idx="26">
                  <c:v>4101</c:v>
                </c:pt>
              </c:numCache>
            </c:numRef>
          </c:xVal>
          <c:yVal>
            <c:numRef>
              <c:f>'5号'!$B$2:$B$28</c:f>
              <c:numCache>
                <c:formatCode>General</c:formatCode>
                <c:ptCount val="27"/>
                <c:pt idx="0">
                  <c:v>192.3</c:v>
                </c:pt>
                <c:pt idx="1">
                  <c:v>342.3</c:v>
                </c:pt>
                <c:pt idx="2">
                  <c:v>492.3</c:v>
                </c:pt>
                <c:pt idx="3">
                  <c:v>642.29999999999995</c:v>
                </c:pt>
                <c:pt idx="4">
                  <c:v>792.3</c:v>
                </c:pt>
                <c:pt idx="5">
                  <c:v>942.3</c:v>
                </c:pt>
                <c:pt idx="6">
                  <c:v>1092.3</c:v>
                </c:pt>
                <c:pt idx="7">
                  <c:v>1242.3</c:v>
                </c:pt>
                <c:pt idx="8">
                  <c:v>1392.3</c:v>
                </c:pt>
                <c:pt idx="9">
                  <c:v>1542.3</c:v>
                </c:pt>
                <c:pt idx="10">
                  <c:v>1692.3</c:v>
                </c:pt>
                <c:pt idx="11">
                  <c:v>1842.3</c:v>
                </c:pt>
                <c:pt idx="12">
                  <c:v>1992.3</c:v>
                </c:pt>
                <c:pt idx="13">
                  <c:v>2142.3000000000002</c:v>
                </c:pt>
                <c:pt idx="14">
                  <c:v>2292.3000000000002</c:v>
                </c:pt>
                <c:pt idx="15">
                  <c:v>2442.3000000000002</c:v>
                </c:pt>
                <c:pt idx="16">
                  <c:v>2592.3000000000002</c:v>
                </c:pt>
                <c:pt idx="17">
                  <c:v>2742.3</c:v>
                </c:pt>
                <c:pt idx="18">
                  <c:v>2892.3</c:v>
                </c:pt>
                <c:pt idx="19">
                  <c:v>3042.3</c:v>
                </c:pt>
                <c:pt idx="20">
                  <c:v>3192.3</c:v>
                </c:pt>
                <c:pt idx="21">
                  <c:v>3342.3</c:v>
                </c:pt>
                <c:pt idx="22">
                  <c:v>3492.3</c:v>
                </c:pt>
                <c:pt idx="23">
                  <c:v>3642.3</c:v>
                </c:pt>
                <c:pt idx="24">
                  <c:v>3792.3</c:v>
                </c:pt>
                <c:pt idx="25">
                  <c:v>3942.3</c:v>
                </c:pt>
                <c:pt idx="26">
                  <c:v>4092.3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D-4401-BCA1-E97D7CF3C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5728943"/>
        <c:axId val="866540255"/>
      </c:scatterChart>
      <c:valAx>
        <c:axId val="87572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540255"/>
        <c:crosses val="autoZero"/>
        <c:crossBetween val="midCat"/>
      </c:valAx>
      <c:valAx>
        <c:axId val="86654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28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#,##0.0000000000_);[Red]\(#,##0.0000000000\)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'2号'!$B$2:$B$27</c:f>
              <c:numCache>
                <c:formatCode>General</c:formatCode>
                <c:ptCount val="26"/>
                <c:pt idx="0">
                  <c:v>191</c:v>
                </c:pt>
                <c:pt idx="1">
                  <c:v>342</c:v>
                </c:pt>
                <c:pt idx="2">
                  <c:v>491</c:v>
                </c:pt>
                <c:pt idx="3">
                  <c:v>644</c:v>
                </c:pt>
                <c:pt idx="4">
                  <c:v>794</c:v>
                </c:pt>
                <c:pt idx="5">
                  <c:v>944</c:v>
                </c:pt>
                <c:pt idx="7">
                  <c:v>1243</c:v>
                </c:pt>
                <c:pt idx="8">
                  <c:v>1396</c:v>
                </c:pt>
                <c:pt idx="9">
                  <c:v>1545</c:v>
                </c:pt>
                <c:pt idx="11">
                  <c:v>1845</c:v>
                </c:pt>
                <c:pt idx="12">
                  <c:v>1992</c:v>
                </c:pt>
                <c:pt idx="13">
                  <c:v>2144</c:v>
                </c:pt>
                <c:pt idx="14">
                  <c:v>2294</c:v>
                </c:pt>
                <c:pt idx="16">
                  <c:v>2597</c:v>
                </c:pt>
                <c:pt idx="17">
                  <c:v>2740</c:v>
                </c:pt>
                <c:pt idx="18">
                  <c:v>2893</c:v>
                </c:pt>
                <c:pt idx="19">
                  <c:v>3043</c:v>
                </c:pt>
                <c:pt idx="20">
                  <c:v>3193</c:v>
                </c:pt>
                <c:pt idx="22">
                  <c:v>3493</c:v>
                </c:pt>
                <c:pt idx="25">
                  <c:v>3945</c:v>
                </c:pt>
              </c:numCache>
            </c:numRef>
          </c:xVal>
          <c:yVal>
            <c:numRef>
              <c:f>'2号'!$C$2:$C$27</c:f>
              <c:numCache>
                <c:formatCode>General</c:formatCode>
                <c:ptCount val="26"/>
                <c:pt idx="0">
                  <c:v>192.3</c:v>
                </c:pt>
                <c:pt idx="1">
                  <c:v>342.3</c:v>
                </c:pt>
                <c:pt idx="2">
                  <c:v>492.3</c:v>
                </c:pt>
                <c:pt idx="3">
                  <c:v>642.29999999999995</c:v>
                </c:pt>
                <c:pt idx="4">
                  <c:v>792.3</c:v>
                </c:pt>
                <c:pt idx="5">
                  <c:v>942.3</c:v>
                </c:pt>
                <c:pt idx="6">
                  <c:v>1092.3</c:v>
                </c:pt>
                <c:pt idx="7">
                  <c:v>1242.3</c:v>
                </c:pt>
                <c:pt idx="8">
                  <c:v>1392.3</c:v>
                </c:pt>
                <c:pt idx="9">
                  <c:v>1542.3</c:v>
                </c:pt>
                <c:pt idx="10">
                  <c:v>1692.3</c:v>
                </c:pt>
                <c:pt idx="11">
                  <c:v>1842.3</c:v>
                </c:pt>
                <c:pt idx="12">
                  <c:v>1992.3</c:v>
                </c:pt>
                <c:pt idx="13">
                  <c:v>2142.3000000000002</c:v>
                </c:pt>
                <c:pt idx="14">
                  <c:v>2292.3000000000002</c:v>
                </c:pt>
                <c:pt idx="15">
                  <c:v>2442.3000000000002</c:v>
                </c:pt>
                <c:pt idx="16">
                  <c:v>2592.3000000000002</c:v>
                </c:pt>
                <c:pt idx="17">
                  <c:v>2742.3</c:v>
                </c:pt>
                <c:pt idx="18">
                  <c:v>2892.3</c:v>
                </c:pt>
                <c:pt idx="19">
                  <c:v>3042.3</c:v>
                </c:pt>
                <c:pt idx="20">
                  <c:v>3192.3</c:v>
                </c:pt>
                <c:pt idx="21">
                  <c:v>3342.3</c:v>
                </c:pt>
                <c:pt idx="22">
                  <c:v>3492.3</c:v>
                </c:pt>
                <c:pt idx="23">
                  <c:v>3642.3</c:v>
                </c:pt>
                <c:pt idx="24">
                  <c:v>3792.3</c:v>
                </c:pt>
                <c:pt idx="25">
                  <c:v>3942.3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D5-4F7E-A2AA-CEC33335C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033248"/>
        <c:axId val="233869584"/>
      </c:scatterChart>
      <c:valAx>
        <c:axId val="355033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3869584"/>
        <c:crosses val="autoZero"/>
        <c:crossBetween val="midCat"/>
      </c:valAx>
      <c:valAx>
        <c:axId val="23386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5033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523875</xdr:colOff>
      <xdr:row>7</xdr:row>
      <xdr:rowOff>66675</xdr:rowOff>
    </xdr:from>
    <xdr:to>
      <xdr:col>11</xdr:col>
      <xdr:colOff>492125</xdr:colOff>
      <xdr:row>22</xdr:row>
      <xdr:rowOff>142875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CF6D016-B8EB-4EF9-AE2F-EB0A79B5ED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396875</xdr:colOff>
      <xdr:row>4</xdr:row>
      <xdr:rowOff>117475</xdr:rowOff>
    </xdr:from>
    <xdr:to>
      <xdr:col>12</xdr:col>
      <xdr:colOff>92075</xdr:colOff>
      <xdr:row>20</xdr:row>
      <xdr:rowOff>15875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6869571-4A43-4283-BAFC-A276177B54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workbookViewId="0">
      <selection activeCell="E22" sqref="E22"/>
    </sheetView>
  </sheetViews>
  <sheetFormatPr defaultRowHeight="14" x14ac:dyDescent="0.25"/>
  <cols>
    <col min="2" max="2" width="5.6328125" bestFit="1" customWidth="1"/>
    <col min="3" max="4" width="5.6328125" customWidth="1"/>
  </cols>
  <sheetData>
    <row r="1" spans="1:4" x14ac:dyDescent="0.25">
      <c r="A1" t="s">
        <v>0</v>
      </c>
    </row>
    <row r="2" spans="1:4" x14ac:dyDescent="0.25">
      <c r="A2">
        <v>193</v>
      </c>
      <c r="B2">
        <v>193</v>
      </c>
      <c r="C2">
        <f>B2-A2</f>
        <v>0</v>
      </c>
    </row>
    <row r="3" spans="1:4" x14ac:dyDescent="0.25">
      <c r="A3">
        <v>343</v>
      </c>
      <c r="B3">
        <v>342</v>
      </c>
      <c r="C3">
        <f t="shared" ref="C3:C20" si="0">B3-A3</f>
        <v>-1</v>
      </c>
    </row>
    <row r="4" spans="1:4" x14ac:dyDescent="0.25">
      <c r="A4">
        <v>493</v>
      </c>
      <c r="B4">
        <v>495</v>
      </c>
      <c r="C4">
        <f t="shared" si="0"/>
        <v>2</v>
      </c>
    </row>
    <row r="5" spans="1:4" x14ac:dyDescent="0.25">
      <c r="A5">
        <v>643</v>
      </c>
      <c r="B5">
        <v>641</v>
      </c>
      <c r="C5">
        <f t="shared" si="0"/>
        <v>-2</v>
      </c>
    </row>
    <row r="6" spans="1:4" x14ac:dyDescent="0.25">
      <c r="A6">
        <v>793</v>
      </c>
      <c r="B6">
        <v>795</v>
      </c>
      <c r="C6">
        <f t="shared" si="0"/>
        <v>2</v>
      </c>
    </row>
    <row r="7" spans="1:4" x14ac:dyDescent="0.25">
      <c r="A7">
        <v>943</v>
      </c>
      <c r="B7">
        <v>944</v>
      </c>
      <c r="C7">
        <f t="shared" si="0"/>
        <v>1</v>
      </c>
    </row>
    <row r="8" spans="1:4" x14ac:dyDescent="0.25">
      <c r="A8" s="1">
        <v>1093</v>
      </c>
      <c r="B8">
        <v>1096</v>
      </c>
      <c r="C8">
        <f t="shared" si="0"/>
        <v>3</v>
      </c>
    </row>
    <row r="9" spans="1:4" x14ac:dyDescent="0.25">
      <c r="A9">
        <v>1243</v>
      </c>
      <c r="B9">
        <v>1246</v>
      </c>
      <c r="C9">
        <f t="shared" si="0"/>
        <v>3</v>
      </c>
    </row>
    <row r="10" spans="1:4" x14ac:dyDescent="0.25">
      <c r="A10">
        <v>1393</v>
      </c>
      <c r="B10">
        <v>1396</v>
      </c>
      <c r="C10">
        <f t="shared" si="0"/>
        <v>3</v>
      </c>
    </row>
    <row r="11" spans="1:4" x14ac:dyDescent="0.25">
      <c r="A11">
        <v>1543</v>
      </c>
      <c r="B11">
        <v>1545</v>
      </c>
      <c r="C11">
        <f t="shared" si="0"/>
        <v>2</v>
      </c>
    </row>
    <row r="12" spans="1:4" x14ac:dyDescent="0.25">
      <c r="A12">
        <v>1693</v>
      </c>
      <c r="B12">
        <v>1695</v>
      </c>
      <c r="C12">
        <f t="shared" si="0"/>
        <v>2</v>
      </c>
    </row>
    <row r="13" spans="1:4" x14ac:dyDescent="0.25">
      <c r="A13">
        <v>1843</v>
      </c>
      <c r="B13" s="2">
        <v>1845</v>
      </c>
      <c r="C13">
        <f t="shared" si="0"/>
        <v>2</v>
      </c>
    </row>
    <row r="14" spans="1:4" x14ac:dyDescent="0.25">
      <c r="A14">
        <v>1993</v>
      </c>
      <c r="B14">
        <v>1995</v>
      </c>
      <c r="C14">
        <f t="shared" si="0"/>
        <v>2</v>
      </c>
      <c r="D14">
        <f>AVERAGE(C8:C14)</f>
        <v>2.4285714285714284</v>
      </c>
    </row>
    <row r="15" spans="1:4" x14ac:dyDescent="0.25">
      <c r="A15">
        <v>2143</v>
      </c>
      <c r="B15">
        <v>2144</v>
      </c>
      <c r="C15">
        <f t="shared" si="0"/>
        <v>1</v>
      </c>
    </row>
    <row r="16" spans="1:4" x14ac:dyDescent="0.25">
      <c r="A16">
        <v>2293</v>
      </c>
      <c r="B16">
        <v>2294</v>
      </c>
      <c r="C16">
        <f t="shared" si="0"/>
        <v>1</v>
      </c>
    </row>
    <row r="17" spans="1:3" x14ac:dyDescent="0.25">
      <c r="A17">
        <v>2443</v>
      </c>
      <c r="C17">
        <f t="shared" si="0"/>
        <v>-2443</v>
      </c>
    </row>
    <row r="18" spans="1:3" x14ac:dyDescent="0.25">
      <c r="A18">
        <v>2593</v>
      </c>
      <c r="B18">
        <v>2593</v>
      </c>
      <c r="C18">
        <f t="shared" si="0"/>
        <v>0</v>
      </c>
    </row>
    <row r="19" spans="1:3" x14ac:dyDescent="0.25">
      <c r="A19">
        <v>2743</v>
      </c>
      <c r="C19">
        <f t="shared" si="0"/>
        <v>-2743</v>
      </c>
    </row>
    <row r="20" spans="1:3" x14ac:dyDescent="0.25">
      <c r="A20">
        <v>2893</v>
      </c>
      <c r="C20">
        <f t="shared" si="0"/>
        <v>-2893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1"/>
  <sheetViews>
    <sheetView workbookViewId="0">
      <selection activeCell="E14" sqref="E14"/>
    </sheetView>
  </sheetViews>
  <sheetFormatPr defaultRowHeight="14" x14ac:dyDescent="0.25"/>
  <cols>
    <col min="5" max="5" width="13.54296875" style="3" bestFit="1" customWidth="1"/>
  </cols>
  <sheetData>
    <row r="1" spans="1:6" x14ac:dyDescent="0.25">
      <c r="B1">
        <v>42.3</v>
      </c>
    </row>
    <row r="2" spans="1:6" x14ac:dyDescent="0.25">
      <c r="A2">
        <v>193</v>
      </c>
      <c r="B2">
        <v>192.3</v>
      </c>
      <c r="C2">
        <f>0.9985597061*A2- 3.3459225835 -B2</f>
        <v>-2.9238993062000134</v>
      </c>
    </row>
    <row r="3" spans="1:6" x14ac:dyDescent="0.25">
      <c r="A3">
        <v>346</v>
      </c>
      <c r="B3">
        <v>342.3</v>
      </c>
      <c r="C3">
        <f t="shared" ref="C3:C31" si="0">0.9985597061*A3- 3.3459225835 -B3</f>
        <v>-0.14426427289998855</v>
      </c>
    </row>
    <row r="4" spans="1:6" x14ac:dyDescent="0.25">
      <c r="A4">
        <v>496</v>
      </c>
      <c r="B4">
        <v>492.3</v>
      </c>
      <c r="C4">
        <f t="shared" si="0"/>
        <v>-0.36030835790000992</v>
      </c>
    </row>
    <row r="5" spans="1:6" x14ac:dyDescent="0.25">
      <c r="A5">
        <v>646</v>
      </c>
      <c r="B5">
        <v>642.29999999999995</v>
      </c>
      <c r="C5">
        <f t="shared" si="0"/>
        <v>-0.57635244289997445</v>
      </c>
      <c r="E5" s="3">
        <v>1.0048473760000001</v>
      </c>
      <c r="F5">
        <v>0.9985597061</v>
      </c>
    </row>
    <row r="6" spans="1:6" x14ac:dyDescent="0.25">
      <c r="A6">
        <v>795</v>
      </c>
      <c r="B6">
        <v>792.3</v>
      </c>
      <c r="C6">
        <f t="shared" si="0"/>
        <v>-1.7909562339999638</v>
      </c>
    </row>
    <row r="7" spans="1:6" x14ac:dyDescent="0.25">
      <c r="A7">
        <v>945</v>
      </c>
      <c r="B7">
        <v>942.3</v>
      </c>
      <c r="C7">
        <f t="shared" si="0"/>
        <v>-2.0070003189999852</v>
      </c>
      <c r="E7" s="3">
        <f>E5*F5</f>
        <v>1.0034001004539164</v>
      </c>
    </row>
    <row r="8" spans="1:6" x14ac:dyDescent="0.25">
      <c r="A8">
        <v>1099</v>
      </c>
      <c r="B8">
        <v>1092.3</v>
      </c>
      <c r="C8">
        <f t="shared" si="0"/>
        <v>1.7711944204002066</v>
      </c>
    </row>
    <row r="9" spans="1:6" x14ac:dyDescent="0.25">
      <c r="A9">
        <v>1248</v>
      </c>
      <c r="B9">
        <v>1242.3</v>
      </c>
      <c r="C9">
        <f t="shared" si="0"/>
        <v>0.55659062930021719</v>
      </c>
    </row>
    <row r="10" spans="1:6" x14ac:dyDescent="0.25">
      <c r="A10">
        <v>1398</v>
      </c>
      <c r="B10">
        <v>1392.3</v>
      </c>
      <c r="C10">
        <f t="shared" si="0"/>
        <v>0.34054654430019582</v>
      </c>
    </row>
    <row r="11" spans="1:6" x14ac:dyDescent="0.25">
      <c r="A11">
        <v>1551</v>
      </c>
      <c r="B11">
        <v>1542.3</v>
      </c>
      <c r="C11">
        <f t="shared" si="0"/>
        <v>3.1201815776000785</v>
      </c>
    </row>
    <row r="12" spans="1:6" x14ac:dyDescent="0.25">
      <c r="A12">
        <v>1701</v>
      </c>
      <c r="B12">
        <v>1692.3</v>
      </c>
      <c r="C12">
        <f t="shared" si="0"/>
        <v>2.9041374926000572</v>
      </c>
    </row>
    <row r="13" spans="1:6" x14ac:dyDescent="0.25">
      <c r="A13">
        <v>1850</v>
      </c>
      <c r="B13">
        <v>1842.3</v>
      </c>
      <c r="C13">
        <f t="shared" si="0"/>
        <v>1.6895337015000678</v>
      </c>
    </row>
    <row r="14" spans="1:6" x14ac:dyDescent="0.25">
      <c r="A14">
        <v>2000</v>
      </c>
      <c r="B14">
        <v>1992.3</v>
      </c>
      <c r="C14">
        <f t="shared" si="0"/>
        <v>1.4734896165000464</v>
      </c>
    </row>
    <row r="15" spans="1:6" x14ac:dyDescent="0.25">
      <c r="A15">
        <v>2150</v>
      </c>
      <c r="B15">
        <v>2142.3000000000002</v>
      </c>
      <c r="C15">
        <f t="shared" si="0"/>
        <v>1.2574455314997977</v>
      </c>
    </row>
    <row r="16" spans="1:6" x14ac:dyDescent="0.25">
      <c r="A16">
        <v>2299</v>
      </c>
      <c r="B16">
        <v>2292.3000000000002</v>
      </c>
      <c r="C16">
        <f t="shared" si="0"/>
        <v>4.2841740400035633E-2</v>
      </c>
    </row>
    <row r="17" spans="1:3" x14ac:dyDescent="0.25">
      <c r="A17">
        <v>2450</v>
      </c>
      <c r="B17">
        <v>2442.3000000000002</v>
      </c>
      <c r="C17">
        <f t="shared" si="0"/>
        <v>0.82535736149975492</v>
      </c>
    </row>
    <row r="18" spans="1:3" x14ac:dyDescent="0.25">
      <c r="A18">
        <v>2599</v>
      </c>
      <c r="B18">
        <v>2592.3000000000002</v>
      </c>
      <c r="C18">
        <f t="shared" si="0"/>
        <v>-0.3892464296000071</v>
      </c>
    </row>
    <row r="19" spans="1:3" x14ac:dyDescent="0.25">
      <c r="A19">
        <v>2748</v>
      </c>
      <c r="B19">
        <v>2742.3</v>
      </c>
      <c r="C19">
        <f t="shared" si="0"/>
        <v>-1.6038502207002239</v>
      </c>
    </row>
    <row r="20" spans="1:3" x14ac:dyDescent="0.25">
      <c r="A20">
        <v>2898</v>
      </c>
      <c r="B20">
        <v>2892.3</v>
      </c>
      <c r="C20">
        <f t="shared" si="0"/>
        <v>-1.8198943057000179</v>
      </c>
    </row>
    <row r="21" spans="1:3" x14ac:dyDescent="0.25">
      <c r="A21">
        <v>3049</v>
      </c>
      <c r="B21">
        <v>3042.3</v>
      </c>
      <c r="C21">
        <f t="shared" si="0"/>
        <v>-1.0373786846002986</v>
      </c>
    </row>
    <row r="22" spans="1:3" x14ac:dyDescent="0.25">
      <c r="A22">
        <v>3199</v>
      </c>
      <c r="B22">
        <v>3192.3</v>
      </c>
      <c r="C22">
        <f t="shared" si="0"/>
        <v>-1.2534227696000926</v>
      </c>
    </row>
    <row r="23" spans="1:3" x14ac:dyDescent="0.25">
      <c r="A23">
        <v>3352</v>
      </c>
      <c r="B23">
        <v>3342.3</v>
      </c>
      <c r="C23">
        <f t="shared" si="0"/>
        <v>1.5262122637000175</v>
      </c>
    </row>
    <row r="24" spans="1:3" x14ac:dyDescent="0.25">
      <c r="A24">
        <v>3501</v>
      </c>
      <c r="B24">
        <v>3492.3</v>
      </c>
      <c r="C24">
        <f t="shared" si="0"/>
        <v>0.31160847259980073</v>
      </c>
    </row>
    <row r="25" spans="1:3" x14ac:dyDescent="0.25">
      <c r="A25">
        <v>3651</v>
      </c>
      <c r="B25">
        <v>3642.3</v>
      </c>
      <c r="C25">
        <f t="shared" si="0"/>
        <v>9.5564387600006739E-2</v>
      </c>
    </row>
    <row r="26" spans="1:3" x14ac:dyDescent="0.25">
      <c r="A26">
        <v>3801</v>
      </c>
      <c r="B26">
        <v>3792.3</v>
      </c>
      <c r="C26">
        <f t="shared" si="0"/>
        <v>-0.120479697400242</v>
      </c>
    </row>
    <row r="27" spans="1:3" x14ac:dyDescent="0.25">
      <c r="A27">
        <v>3950</v>
      </c>
      <c r="B27">
        <v>3942.3</v>
      </c>
      <c r="C27">
        <f t="shared" si="0"/>
        <v>-1.335083488500004</v>
      </c>
    </row>
    <row r="28" spans="1:3" x14ac:dyDescent="0.25">
      <c r="A28">
        <v>4101</v>
      </c>
      <c r="B28">
        <v>4092.3</v>
      </c>
      <c r="C28">
        <f t="shared" si="0"/>
        <v>-0.55256786740028474</v>
      </c>
    </row>
    <row r="29" spans="1:3" x14ac:dyDescent="0.25">
      <c r="A29">
        <v>4250</v>
      </c>
      <c r="B29">
        <v>4242.3</v>
      </c>
      <c r="C29">
        <f t="shared" si="0"/>
        <v>-1.7671716585009563</v>
      </c>
    </row>
    <row r="30" spans="1:3" x14ac:dyDescent="0.25">
      <c r="B30">
        <v>4392.3</v>
      </c>
      <c r="C30">
        <f t="shared" si="0"/>
        <v>-4395.6459225835006</v>
      </c>
    </row>
    <row r="31" spans="1:3" x14ac:dyDescent="0.25">
      <c r="B31">
        <v>4542.3</v>
      </c>
      <c r="C31">
        <f t="shared" si="0"/>
        <v>-4545.6459225835006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B8D9-14DB-4F30-BBAF-FAF9547A9C28}">
  <dimension ref="B1:G31"/>
  <sheetViews>
    <sheetView topLeftCell="A7" workbookViewId="0">
      <selection activeCell="E23" sqref="E23"/>
    </sheetView>
  </sheetViews>
  <sheetFormatPr defaultRowHeight="14" x14ac:dyDescent="0.25"/>
  <cols>
    <col min="7" max="7" width="13.54296875" style="3" bestFit="1" customWidth="1"/>
  </cols>
  <sheetData>
    <row r="1" spans="2:7" x14ac:dyDescent="0.25">
      <c r="C1">
        <v>42.3</v>
      </c>
    </row>
    <row r="2" spans="2:7" x14ac:dyDescent="0.25">
      <c r="B2">
        <v>191</v>
      </c>
      <c r="C2">
        <v>192.3</v>
      </c>
    </row>
    <row r="3" spans="2:7" x14ac:dyDescent="0.25">
      <c r="B3">
        <v>342</v>
      </c>
      <c r="C3">
        <v>342.3</v>
      </c>
      <c r="G3" s="3">
        <f>1.00161384*0.999701489</f>
        <v>1.0013148472510078</v>
      </c>
    </row>
    <row r="4" spans="2:7" x14ac:dyDescent="0.25">
      <c r="B4">
        <v>491</v>
      </c>
      <c r="C4">
        <v>492.3</v>
      </c>
    </row>
    <row r="5" spans="2:7" x14ac:dyDescent="0.25">
      <c r="B5">
        <v>644</v>
      </c>
      <c r="C5">
        <v>642.29999999999995</v>
      </c>
    </row>
    <row r="6" spans="2:7" x14ac:dyDescent="0.25">
      <c r="B6">
        <v>794</v>
      </c>
      <c r="C6">
        <v>792.3</v>
      </c>
    </row>
    <row r="7" spans="2:7" x14ac:dyDescent="0.25">
      <c r="B7">
        <v>944</v>
      </c>
      <c r="C7">
        <v>942.3</v>
      </c>
    </row>
    <row r="8" spans="2:7" x14ac:dyDescent="0.25">
      <c r="C8">
        <v>1092.3</v>
      </c>
    </row>
    <row r="9" spans="2:7" x14ac:dyDescent="0.25">
      <c r="B9">
        <v>1243</v>
      </c>
      <c r="C9">
        <v>1242.3</v>
      </c>
    </row>
    <row r="10" spans="2:7" x14ac:dyDescent="0.25">
      <c r="B10" s="2">
        <v>1396</v>
      </c>
      <c r="C10" s="2">
        <v>1392.3</v>
      </c>
      <c r="D10">
        <f>B10-2-C10</f>
        <v>1.7000000000000455</v>
      </c>
    </row>
    <row r="11" spans="2:7" x14ac:dyDescent="0.25">
      <c r="B11">
        <v>1545</v>
      </c>
      <c r="C11">
        <v>1542.3</v>
      </c>
      <c r="D11">
        <f t="shared" ref="D11:D28" si="0">B11-2-C11</f>
        <v>0.70000000000004547</v>
      </c>
    </row>
    <row r="12" spans="2:7" x14ac:dyDescent="0.25">
      <c r="C12">
        <v>1692.3</v>
      </c>
      <c r="D12">
        <f t="shared" si="0"/>
        <v>-1694.3</v>
      </c>
    </row>
    <row r="13" spans="2:7" x14ac:dyDescent="0.25">
      <c r="B13">
        <v>1845</v>
      </c>
      <c r="C13">
        <v>1842.3</v>
      </c>
      <c r="D13">
        <f t="shared" si="0"/>
        <v>0.70000000000004547</v>
      </c>
    </row>
    <row r="14" spans="2:7" x14ac:dyDescent="0.25">
      <c r="B14">
        <v>1992</v>
      </c>
      <c r="C14">
        <v>1992.3</v>
      </c>
      <c r="D14">
        <f t="shared" si="0"/>
        <v>-2.2999999999999545</v>
      </c>
    </row>
    <row r="15" spans="2:7" x14ac:dyDescent="0.25">
      <c r="B15">
        <v>2144</v>
      </c>
      <c r="C15">
        <v>2142.3000000000002</v>
      </c>
      <c r="D15">
        <f t="shared" si="0"/>
        <v>-0.3000000000001819</v>
      </c>
    </row>
    <row r="16" spans="2:7" x14ac:dyDescent="0.25">
      <c r="B16">
        <v>2294</v>
      </c>
      <c r="C16">
        <v>2292.3000000000002</v>
      </c>
      <c r="D16">
        <f t="shared" si="0"/>
        <v>-0.3000000000001819</v>
      </c>
    </row>
    <row r="17" spans="2:4" x14ac:dyDescent="0.25">
      <c r="C17">
        <v>2442.3000000000002</v>
      </c>
      <c r="D17">
        <f t="shared" si="0"/>
        <v>-2444.3000000000002</v>
      </c>
    </row>
    <row r="18" spans="2:4" x14ac:dyDescent="0.25">
      <c r="B18">
        <v>2597</v>
      </c>
      <c r="C18">
        <v>2592.3000000000002</v>
      </c>
      <c r="D18">
        <f t="shared" si="0"/>
        <v>2.6999999999998181</v>
      </c>
    </row>
    <row r="19" spans="2:4" x14ac:dyDescent="0.25">
      <c r="B19">
        <v>2740</v>
      </c>
      <c r="C19">
        <v>2742.3</v>
      </c>
      <c r="D19">
        <f t="shared" si="0"/>
        <v>-4.3000000000001819</v>
      </c>
    </row>
    <row r="20" spans="2:4" x14ac:dyDescent="0.25">
      <c r="B20">
        <v>2893</v>
      </c>
      <c r="C20">
        <v>2892.3</v>
      </c>
      <c r="D20">
        <f t="shared" si="0"/>
        <v>-1.3000000000001819</v>
      </c>
    </row>
    <row r="21" spans="2:4" x14ac:dyDescent="0.25">
      <c r="B21">
        <v>3043</v>
      </c>
      <c r="C21">
        <v>3042.3</v>
      </c>
      <c r="D21">
        <f t="shared" si="0"/>
        <v>-1.3000000000001819</v>
      </c>
    </row>
    <row r="22" spans="2:4" x14ac:dyDescent="0.25">
      <c r="B22">
        <v>3193</v>
      </c>
      <c r="C22">
        <v>3192.3</v>
      </c>
      <c r="D22">
        <f t="shared" si="0"/>
        <v>-1.3000000000001819</v>
      </c>
    </row>
    <row r="23" spans="2:4" x14ac:dyDescent="0.25">
      <c r="C23">
        <v>3342.3</v>
      </c>
      <c r="D23">
        <f t="shared" si="0"/>
        <v>-3344.3</v>
      </c>
    </row>
    <row r="24" spans="2:4" x14ac:dyDescent="0.25">
      <c r="B24">
        <v>3493</v>
      </c>
      <c r="C24">
        <v>3492.3</v>
      </c>
      <c r="D24">
        <f t="shared" si="0"/>
        <v>-1.3000000000001819</v>
      </c>
    </row>
    <row r="25" spans="2:4" x14ac:dyDescent="0.25">
      <c r="C25">
        <v>3642.3</v>
      </c>
      <c r="D25">
        <f t="shared" si="0"/>
        <v>-3644.3</v>
      </c>
    </row>
    <row r="26" spans="2:4" x14ac:dyDescent="0.25">
      <c r="C26">
        <v>3792.3</v>
      </c>
      <c r="D26">
        <f t="shared" si="0"/>
        <v>-3794.3</v>
      </c>
    </row>
    <row r="27" spans="2:4" x14ac:dyDescent="0.25">
      <c r="B27">
        <v>3945</v>
      </c>
      <c r="C27">
        <v>3942.3</v>
      </c>
      <c r="D27">
        <f t="shared" si="0"/>
        <v>0.6999999999998181</v>
      </c>
    </row>
    <row r="28" spans="2:4" x14ac:dyDescent="0.25">
      <c r="C28">
        <v>4092.3</v>
      </c>
      <c r="D28">
        <f t="shared" si="0"/>
        <v>-4094.3</v>
      </c>
    </row>
    <row r="29" spans="2:4" x14ac:dyDescent="0.25">
      <c r="C29">
        <v>4242.3</v>
      </c>
    </row>
    <row r="30" spans="2:4" x14ac:dyDescent="0.25">
      <c r="C30">
        <v>4392.3</v>
      </c>
    </row>
    <row r="31" spans="2:4" x14ac:dyDescent="0.25">
      <c r="C31">
        <v>4542.3</v>
      </c>
    </row>
  </sheetData>
  <phoneticPr fontId="1" type="noConversion"/>
  <pageMargins left="0.7" right="0.7" top="0.75" bottom="0.75" header="0.3" footer="0.3"/>
  <pageSetup paperSize="9" orientation="portrait" horizontalDpi="200" verticalDpi="200" copies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08BF4-56CA-42E2-BCB7-3E2837B72C49}">
  <dimension ref="A1:E32"/>
  <sheetViews>
    <sheetView tabSelected="1" workbookViewId="0">
      <selection activeCell="G21" sqref="G21"/>
    </sheetView>
  </sheetViews>
  <sheetFormatPr defaultRowHeight="14" x14ac:dyDescent="0.25"/>
  <sheetData>
    <row r="1" spans="1:5" x14ac:dyDescent="0.25">
      <c r="A1" s="5" t="s">
        <v>4</v>
      </c>
      <c r="B1" s="5"/>
      <c r="C1" s="5"/>
      <c r="D1" s="5"/>
      <c r="E1" s="5"/>
    </row>
    <row r="2" spans="1:5" x14ac:dyDescent="0.25">
      <c r="A2" s="4" t="s">
        <v>5</v>
      </c>
      <c r="B2" s="4" t="s">
        <v>1</v>
      </c>
      <c r="C2" s="4" t="s">
        <v>2</v>
      </c>
      <c r="D2" s="4"/>
      <c r="E2" s="4" t="s">
        <v>3</v>
      </c>
    </row>
    <row r="3" spans="1:5" x14ac:dyDescent="0.25">
      <c r="A3">
        <v>192.3</v>
      </c>
      <c r="B3">
        <v>193</v>
      </c>
      <c r="C3">
        <f>B3-A3</f>
        <v>0.69999999999998863</v>
      </c>
    </row>
    <row r="4" spans="1:5" x14ac:dyDescent="0.25">
      <c r="A4">
        <v>342.3</v>
      </c>
      <c r="B4">
        <v>344</v>
      </c>
      <c r="C4">
        <f t="shared" ref="C4:C31" si="0">B4-A4</f>
        <v>1.6999999999999886</v>
      </c>
      <c r="D4" s="6">
        <f>AVERAGE(C6:C30)</f>
        <v>2.9083333333332462</v>
      </c>
      <c r="E4">
        <f>B4-$D$4-A4</f>
        <v>-1.2083333333332575</v>
      </c>
    </row>
    <row r="5" spans="1:5" x14ac:dyDescent="0.25">
      <c r="A5">
        <v>492.3</v>
      </c>
      <c r="B5">
        <v>493</v>
      </c>
      <c r="C5">
        <f t="shared" si="0"/>
        <v>0.69999999999998863</v>
      </c>
      <c r="E5">
        <f t="shared" ref="E5:E32" si="1">B5-$D$4-A5</f>
        <v>-2.2083333333332575</v>
      </c>
    </row>
    <row r="6" spans="1:5" x14ac:dyDescent="0.25">
      <c r="A6">
        <v>642.29999999999995</v>
      </c>
      <c r="B6">
        <v>646</v>
      </c>
      <c r="C6">
        <f t="shared" si="0"/>
        <v>3.7000000000000455</v>
      </c>
      <c r="E6">
        <f t="shared" si="1"/>
        <v>0.79166666666674246</v>
      </c>
    </row>
    <row r="7" spans="1:5" x14ac:dyDescent="0.25">
      <c r="A7">
        <v>792.3</v>
      </c>
      <c r="B7">
        <v>793</v>
      </c>
      <c r="C7">
        <f t="shared" si="0"/>
        <v>0.70000000000004547</v>
      </c>
      <c r="E7">
        <f t="shared" si="1"/>
        <v>-2.2083333333332575</v>
      </c>
    </row>
    <row r="8" spans="1:5" x14ac:dyDescent="0.25">
      <c r="A8">
        <v>942.3</v>
      </c>
      <c r="B8">
        <v>943</v>
      </c>
      <c r="C8">
        <f t="shared" si="0"/>
        <v>0.70000000000004547</v>
      </c>
      <c r="E8">
        <f t="shared" si="1"/>
        <v>-2.2083333333332575</v>
      </c>
    </row>
    <row r="9" spans="1:5" x14ac:dyDescent="0.25">
      <c r="A9">
        <v>1092.3</v>
      </c>
      <c r="B9">
        <v>1096</v>
      </c>
      <c r="C9">
        <f t="shared" si="0"/>
        <v>3.7000000000000455</v>
      </c>
      <c r="E9">
        <f t="shared" si="1"/>
        <v>0.79166666666674246</v>
      </c>
    </row>
    <row r="10" spans="1:5" x14ac:dyDescent="0.25">
      <c r="A10">
        <v>1242.3</v>
      </c>
      <c r="B10">
        <v>1244</v>
      </c>
      <c r="C10">
        <f t="shared" si="0"/>
        <v>1.7000000000000455</v>
      </c>
      <c r="E10">
        <f t="shared" si="1"/>
        <v>-1.2083333333332575</v>
      </c>
    </row>
    <row r="11" spans="1:5" x14ac:dyDescent="0.25">
      <c r="A11" s="2">
        <v>1392.3</v>
      </c>
      <c r="B11">
        <v>1397</v>
      </c>
      <c r="C11">
        <f t="shared" si="0"/>
        <v>4.7000000000000455</v>
      </c>
      <c r="E11">
        <f t="shared" si="1"/>
        <v>1.7916666666667425</v>
      </c>
    </row>
    <row r="12" spans="1:5" x14ac:dyDescent="0.25">
      <c r="A12">
        <v>1542.3</v>
      </c>
      <c r="B12">
        <v>1546</v>
      </c>
      <c r="C12">
        <f t="shared" si="0"/>
        <v>3.7000000000000455</v>
      </c>
      <c r="E12">
        <f t="shared" si="1"/>
        <v>0.79166666666674246</v>
      </c>
    </row>
    <row r="13" spans="1:5" x14ac:dyDescent="0.25">
      <c r="A13">
        <v>1692.3</v>
      </c>
      <c r="B13">
        <v>1695</v>
      </c>
      <c r="C13">
        <f t="shared" si="0"/>
        <v>2.7000000000000455</v>
      </c>
      <c r="E13">
        <f t="shared" si="1"/>
        <v>-0.20833333333325754</v>
      </c>
    </row>
    <row r="14" spans="1:5" x14ac:dyDescent="0.25">
      <c r="A14">
        <v>1842.3</v>
      </c>
      <c r="B14">
        <v>1845</v>
      </c>
      <c r="C14">
        <f t="shared" si="0"/>
        <v>2.7000000000000455</v>
      </c>
      <c r="E14">
        <f t="shared" si="1"/>
        <v>-0.20833333333325754</v>
      </c>
    </row>
    <row r="15" spans="1:5" x14ac:dyDescent="0.25">
      <c r="A15">
        <v>1992.3</v>
      </c>
      <c r="B15">
        <v>1994</v>
      </c>
      <c r="C15">
        <f t="shared" si="0"/>
        <v>1.7000000000000455</v>
      </c>
      <c r="E15">
        <f t="shared" si="1"/>
        <v>-1.2083333333332575</v>
      </c>
    </row>
    <row r="16" spans="1:5" x14ac:dyDescent="0.25">
      <c r="A16">
        <v>2142.3000000000002</v>
      </c>
      <c r="B16">
        <v>2146</v>
      </c>
      <c r="C16">
        <f t="shared" si="0"/>
        <v>3.6999999999998181</v>
      </c>
      <c r="E16">
        <f t="shared" si="1"/>
        <v>0.79166666666651508</v>
      </c>
    </row>
    <row r="17" spans="1:5" x14ac:dyDescent="0.25">
      <c r="A17">
        <v>2292.3000000000002</v>
      </c>
      <c r="B17">
        <v>2295</v>
      </c>
      <c r="C17">
        <f t="shared" si="0"/>
        <v>2.6999999999998181</v>
      </c>
      <c r="E17">
        <f t="shared" si="1"/>
        <v>-0.20833333333348492</v>
      </c>
    </row>
    <row r="18" spans="1:5" x14ac:dyDescent="0.25">
      <c r="A18">
        <v>2442.3000000000002</v>
      </c>
      <c r="B18">
        <v>2446</v>
      </c>
      <c r="C18">
        <f t="shared" si="0"/>
        <v>3.6999999999998181</v>
      </c>
      <c r="E18">
        <f t="shared" si="1"/>
        <v>0.79166666666651508</v>
      </c>
    </row>
    <row r="19" spans="1:5" x14ac:dyDescent="0.25">
      <c r="A19">
        <v>2592.3000000000002</v>
      </c>
      <c r="B19">
        <v>2597</v>
      </c>
      <c r="C19">
        <f t="shared" si="0"/>
        <v>4.6999999999998181</v>
      </c>
      <c r="E19">
        <f t="shared" si="1"/>
        <v>1.7916666666665151</v>
      </c>
    </row>
    <row r="20" spans="1:5" x14ac:dyDescent="0.25">
      <c r="A20">
        <v>2742.3</v>
      </c>
      <c r="B20">
        <v>2744</v>
      </c>
      <c r="C20">
        <f t="shared" si="0"/>
        <v>1.6999999999998181</v>
      </c>
      <c r="E20">
        <f t="shared" si="1"/>
        <v>-1.2083333333334849</v>
      </c>
    </row>
    <row r="21" spans="1:5" x14ac:dyDescent="0.25">
      <c r="A21">
        <v>2892.3</v>
      </c>
      <c r="B21">
        <v>2896</v>
      </c>
      <c r="C21">
        <f t="shared" si="0"/>
        <v>3.6999999999998181</v>
      </c>
      <c r="E21">
        <f t="shared" si="1"/>
        <v>0.79166666666651508</v>
      </c>
    </row>
    <row r="22" spans="1:5" x14ac:dyDescent="0.25">
      <c r="A22">
        <v>3042.3</v>
      </c>
      <c r="B22">
        <v>3045</v>
      </c>
      <c r="C22">
        <f t="shared" si="0"/>
        <v>2.6999999999998181</v>
      </c>
      <c r="E22">
        <f t="shared" si="1"/>
        <v>-0.20833333333348492</v>
      </c>
    </row>
    <row r="23" spans="1:5" x14ac:dyDescent="0.25">
      <c r="A23">
        <v>3192.3</v>
      </c>
      <c r="B23">
        <v>3196</v>
      </c>
      <c r="C23">
        <f t="shared" si="0"/>
        <v>3.6999999999998181</v>
      </c>
      <c r="E23">
        <f t="shared" si="1"/>
        <v>0.79166666666651508</v>
      </c>
    </row>
    <row r="24" spans="1:5" x14ac:dyDescent="0.25">
      <c r="A24">
        <v>3342.3</v>
      </c>
      <c r="B24">
        <v>3346</v>
      </c>
      <c r="C24">
        <f t="shared" si="0"/>
        <v>3.6999999999998181</v>
      </c>
      <c r="E24">
        <f t="shared" si="1"/>
        <v>0.79166666666651508</v>
      </c>
    </row>
    <row r="25" spans="1:5" x14ac:dyDescent="0.25">
      <c r="A25">
        <v>3492.3</v>
      </c>
      <c r="E25">
        <f t="shared" si="1"/>
        <v>-3495.2083333333335</v>
      </c>
    </row>
    <row r="26" spans="1:5" x14ac:dyDescent="0.25">
      <c r="A26">
        <v>3642.3</v>
      </c>
      <c r="B26">
        <v>3646</v>
      </c>
      <c r="C26">
        <f t="shared" si="0"/>
        <v>3.6999999999998181</v>
      </c>
      <c r="E26">
        <f t="shared" si="1"/>
        <v>0.79166666666651508</v>
      </c>
    </row>
    <row r="27" spans="1:5" x14ac:dyDescent="0.25">
      <c r="A27">
        <v>3792.3</v>
      </c>
      <c r="B27">
        <v>3794</v>
      </c>
      <c r="C27">
        <f t="shared" si="0"/>
        <v>1.6999999999998181</v>
      </c>
      <c r="E27">
        <f t="shared" si="1"/>
        <v>-1.2083333333334849</v>
      </c>
    </row>
    <row r="28" spans="1:5" x14ac:dyDescent="0.25">
      <c r="A28">
        <v>3942.3</v>
      </c>
      <c r="B28">
        <v>3945</v>
      </c>
      <c r="C28">
        <f t="shared" si="0"/>
        <v>2.6999999999998181</v>
      </c>
      <c r="E28">
        <f t="shared" si="1"/>
        <v>-0.20833333333348492</v>
      </c>
    </row>
    <row r="29" spans="1:5" x14ac:dyDescent="0.25">
      <c r="A29">
        <v>4092.3</v>
      </c>
      <c r="B29">
        <v>4096</v>
      </c>
      <c r="C29">
        <f t="shared" si="0"/>
        <v>3.6999999999998181</v>
      </c>
      <c r="E29">
        <f t="shared" si="1"/>
        <v>0.79166666666651508</v>
      </c>
    </row>
    <row r="30" spans="1:5" x14ac:dyDescent="0.25">
      <c r="A30">
        <v>4242.3</v>
      </c>
      <c r="B30">
        <v>4244</v>
      </c>
      <c r="C30">
        <f t="shared" si="0"/>
        <v>1.6999999999998181</v>
      </c>
      <c r="E30">
        <f t="shared" si="1"/>
        <v>-1.2083333333330302</v>
      </c>
    </row>
    <row r="31" spans="1:5" x14ac:dyDescent="0.25">
      <c r="A31">
        <v>4392.3</v>
      </c>
      <c r="C31">
        <f t="shared" si="0"/>
        <v>-4392.3</v>
      </c>
      <c r="E31">
        <f t="shared" si="1"/>
        <v>-4395.208333333333</v>
      </c>
    </row>
    <row r="32" spans="1:5" x14ac:dyDescent="0.25">
      <c r="A32">
        <v>4542.3</v>
      </c>
      <c r="E32">
        <f t="shared" si="1"/>
        <v>-4545.208333333333</v>
      </c>
    </row>
  </sheetData>
  <mergeCells count="1">
    <mergeCell ref="A1:E1"/>
  </mergeCells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4号</vt:lpstr>
      <vt:lpstr>5号</vt:lpstr>
      <vt:lpstr>2号</vt:lpstr>
      <vt:lpstr>3号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2021-03-17T08:35:19Z</dcterms:created>
  <dcterms:modified xsi:type="dcterms:W3CDTF">2021-03-20T07:47:36Z</dcterms:modified>
</cp:coreProperties>
</file>