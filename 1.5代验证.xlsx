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filterPrivacy="1" defaultThemeVersion="124226"/>
  <xr:revisionPtr revIDLastSave="0" documentId="13_ncr:1_{563F8775-6196-4D23-A2A2-89530A815E81}" xr6:coauthVersionLast="45" xr6:coauthVersionMax="45" xr10:uidLastSave="{00000000-0000-0000-0000-000000000000}"/>
  <bookViews>
    <workbookView xWindow="-110" yWindow="-110" windowWidth="19420" windowHeight="10420" activeTab="2" xr2:uid="{00000000-000D-0000-FFFF-FFFF00000000}"/>
  </bookViews>
  <sheets>
    <sheet name="4号" sheetId="1" r:id="rId1"/>
    <sheet name="5号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A29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30" i="2" s="1"/>
  <c r="A31" i="2" s="1"/>
  <c r="A3" i="2"/>
  <c r="A2" i="2"/>
  <c r="E14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  <c r="F15" i="1" l="1"/>
  <c r="F16" i="1"/>
  <c r="F17" i="1"/>
  <c r="F18" i="1"/>
  <c r="F19" i="1"/>
  <c r="F20" i="1"/>
  <c r="G15" i="1"/>
  <c r="F7" i="1"/>
  <c r="F8" i="1"/>
  <c r="F9" i="1"/>
  <c r="F10" i="1"/>
  <c r="F11" i="1"/>
  <c r="F12" i="1"/>
  <c r="F13" i="1"/>
  <c r="F14" i="1"/>
  <c r="F3" i="1"/>
  <c r="H16" i="1"/>
</calcChain>
</file>

<file path=xl/sharedStrings.xml><?xml version="1.0" encoding="utf-8"?>
<sst xmlns="http://schemas.openxmlformats.org/spreadsheetml/2006/main" count="1" uniqueCount="1">
  <si>
    <t>实际值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</si>
</sst>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_ "/>
  </numFmts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'4号'!$A$2:$A$18</c:f>
              <c:numCache>
                <c:formatCode>General</c:formatCode>
                <c:ptCount val="17"/>
                <c:pt idx="0">
                  <c:v>13294</c:v>
                </c:pt>
                <c:pt idx="1">
                  <c:v>14054</c:v>
                </c:pt>
                <c:pt idx="3">
                  <c:v>15579</c:v>
                </c:pt>
                <c:pt idx="4">
                  <c:v>16364</c:v>
                </c:pt>
                <c:pt idx="5">
                  <c:v>17124</c:v>
                </c:pt>
                <c:pt idx="6">
                  <c:v>17887</c:v>
                </c:pt>
                <c:pt idx="7">
                  <c:v>18666</c:v>
                </c:pt>
                <c:pt idx="8">
                  <c:v>19413</c:v>
                </c:pt>
                <c:pt idx="9">
                  <c:v>20189</c:v>
                </c:pt>
                <c:pt idx="10">
                  <c:v>20937</c:v>
                </c:pt>
                <c:pt idx="11">
                  <c:v>21700</c:v>
                </c:pt>
                <c:pt idx="12">
                  <c:v>22482</c:v>
                </c:pt>
                <c:pt idx="13">
                  <c:v>23240</c:v>
                </c:pt>
                <c:pt idx="14">
                  <c:v>23998</c:v>
                </c:pt>
                <c:pt idx="15">
                  <c:v>24751</c:v>
                </c:pt>
              </c:numCache>
            </c:numRef>
          </c:xVal>
          <c:yVal>
            <c:numRef>
              <c:f>'4号'!$B$2:$B$18</c:f>
              <c:numCache>
                <c:formatCode>General</c:formatCode>
                <c:ptCount val="17"/>
                <c:pt idx="0">
                  <c:v>193</c:v>
                </c:pt>
                <c:pt idx="1">
                  <c:v>343</c:v>
                </c:pt>
                <c:pt idx="2">
                  <c:v>493</c:v>
                </c:pt>
                <c:pt idx="3">
                  <c:v>643</c:v>
                </c:pt>
                <c:pt idx="4">
                  <c:v>793</c:v>
                </c:pt>
                <c:pt idx="5">
                  <c:v>943</c:v>
                </c:pt>
                <c:pt idx="6">
                  <c:v>1093</c:v>
                </c:pt>
                <c:pt idx="7">
                  <c:v>1243</c:v>
                </c:pt>
                <c:pt idx="8">
                  <c:v>1393</c:v>
                </c:pt>
                <c:pt idx="9">
                  <c:v>1543</c:v>
                </c:pt>
                <c:pt idx="10">
                  <c:v>1693</c:v>
                </c:pt>
                <c:pt idx="11">
                  <c:v>1843</c:v>
                </c:pt>
                <c:pt idx="12">
                  <c:v>1993</c:v>
                </c:pt>
                <c:pt idx="13">
                  <c:v>2143</c:v>
                </c:pt>
                <c:pt idx="14">
                  <c:v>2293</c:v>
                </c:pt>
                <c:pt idx="15">
                  <c:v>2443</c:v>
                </c:pt>
                <c:pt idx="16">
                  <c:v>2593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33-4381-853F-257531C0D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7661631"/>
        <c:axId val="1240393839"/>
      </c:scatterChart>
      <c:valAx>
        <c:axId val="1147661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0393839"/>
        <c:crosses val="autoZero"/>
        <c:crossBetween val="midCat"/>
      </c:valAx>
      <c:valAx>
        <c:axId val="124039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7661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Sheet3!$A$2:$A$28</c:f>
              <c:numCache>
                <c:formatCode>General</c:formatCode>
                <c:ptCount val="27"/>
                <c:pt idx="0">
                  <c:v>193</c:v>
                </c:pt>
                <c:pt idx="1">
                  <c:v>346</c:v>
                </c:pt>
                <c:pt idx="2">
                  <c:v>496</c:v>
                </c:pt>
                <c:pt idx="3">
                  <c:v>646</c:v>
                </c:pt>
                <c:pt idx="4">
                  <c:v>795</c:v>
                </c:pt>
                <c:pt idx="5">
                  <c:v>945</c:v>
                </c:pt>
                <c:pt idx="6">
                  <c:v>1099</c:v>
                </c:pt>
                <c:pt idx="7">
                  <c:v>1248</c:v>
                </c:pt>
                <c:pt idx="8">
                  <c:v>1398</c:v>
                </c:pt>
                <c:pt idx="9">
                  <c:v>1551</c:v>
                </c:pt>
                <c:pt idx="10">
                  <c:v>1701</c:v>
                </c:pt>
                <c:pt idx="11">
                  <c:v>1850</c:v>
                </c:pt>
                <c:pt idx="12">
                  <c:v>2000</c:v>
                </c:pt>
                <c:pt idx="13">
                  <c:v>2150</c:v>
                </c:pt>
                <c:pt idx="14">
                  <c:v>2299</c:v>
                </c:pt>
                <c:pt idx="15">
                  <c:v>2450</c:v>
                </c:pt>
                <c:pt idx="16">
                  <c:v>2599</c:v>
                </c:pt>
                <c:pt idx="17">
                  <c:v>2748</c:v>
                </c:pt>
                <c:pt idx="18">
                  <c:v>2898</c:v>
                </c:pt>
                <c:pt idx="19">
                  <c:v>3049</c:v>
                </c:pt>
                <c:pt idx="20">
                  <c:v>3199</c:v>
                </c:pt>
                <c:pt idx="21">
                  <c:v>3352</c:v>
                </c:pt>
                <c:pt idx="22">
                  <c:v>3501</c:v>
                </c:pt>
                <c:pt idx="23">
                  <c:v>3651</c:v>
                </c:pt>
                <c:pt idx="24">
                  <c:v>3801</c:v>
                </c:pt>
                <c:pt idx="25">
                  <c:v>3950</c:v>
                </c:pt>
                <c:pt idx="26">
                  <c:v>4101</c:v>
                </c:pt>
              </c:numCache>
            </c:numRef>
          </c:xVal>
          <c:yVal>
            <c:numRef>
              <c:f>Sheet3!$B$2:$B$28</c:f>
              <c:numCache>
                <c:formatCode>General</c:formatCode>
                <c:ptCount val="27"/>
                <c:pt idx="0">
                  <c:v>192.3</c:v>
                </c:pt>
                <c:pt idx="1">
                  <c:v>342.3</c:v>
                </c:pt>
                <c:pt idx="2">
                  <c:v>492.3</c:v>
                </c:pt>
                <c:pt idx="3">
                  <c:v>642.29999999999995</c:v>
                </c:pt>
                <c:pt idx="4">
                  <c:v>792.3</c:v>
                </c:pt>
                <c:pt idx="5">
                  <c:v>942.3</c:v>
                </c:pt>
                <c:pt idx="6">
                  <c:v>1092.3</c:v>
                </c:pt>
                <c:pt idx="7">
                  <c:v>1242.3</c:v>
                </c:pt>
                <c:pt idx="8">
                  <c:v>1392.3</c:v>
                </c:pt>
                <c:pt idx="9">
                  <c:v>1542.3</c:v>
                </c:pt>
                <c:pt idx="10">
                  <c:v>1692.3</c:v>
                </c:pt>
                <c:pt idx="11">
                  <c:v>1842.3</c:v>
                </c:pt>
                <c:pt idx="12">
                  <c:v>1992.3</c:v>
                </c:pt>
                <c:pt idx="13">
                  <c:v>2142.3000000000002</c:v>
                </c:pt>
                <c:pt idx="14">
                  <c:v>2292.3000000000002</c:v>
                </c:pt>
                <c:pt idx="15">
                  <c:v>2442.3000000000002</c:v>
                </c:pt>
                <c:pt idx="16">
                  <c:v>2592.3000000000002</c:v>
                </c:pt>
                <c:pt idx="17">
                  <c:v>2742.3</c:v>
                </c:pt>
                <c:pt idx="18">
                  <c:v>2892.3</c:v>
                </c:pt>
                <c:pt idx="19">
                  <c:v>3042.3</c:v>
                </c:pt>
                <c:pt idx="20">
                  <c:v>3192.3</c:v>
                </c:pt>
                <c:pt idx="21">
                  <c:v>3342.3</c:v>
                </c:pt>
                <c:pt idx="22">
                  <c:v>3492.3</c:v>
                </c:pt>
                <c:pt idx="23">
                  <c:v>3642.3</c:v>
                </c:pt>
                <c:pt idx="24">
                  <c:v>3792.3</c:v>
                </c:pt>
                <c:pt idx="25">
                  <c:v>3942.3</c:v>
                </c:pt>
                <c:pt idx="26">
                  <c:v>4092.3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1D-4401-BCA1-E97D7CF3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5728943"/>
        <c:axId val="866540255"/>
      </c:scatterChart>
      <c:valAx>
        <c:axId val="87572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6540255"/>
        <c:crosses val="autoZero"/>
        <c:crossBetween val="midCat"/>
      </c:valAx>
      <c:valAx>
        <c:axId val="86654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5728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3</xdr:row>
      <xdr:rowOff>117475</xdr:rowOff>
    </xdr:from>
    <xdr:to>
      <xdr:col>14</xdr:col>
      <xdr:colOff>161925</xdr:colOff>
      <xdr:row>19</xdr:row>
      <xdr:rowOff>15875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A856B16-E17F-4B2C-B925-49AAF95A4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7</xdr:row>
      <xdr:rowOff>66675</xdr:rowOff>
    </xdr:from>
    <xdr:to>
      <xdr:col>11</xdr:col>
      <xdr:colOff>492125</xdr:colOff>
      <xdr:row>22</xdr:row>
      <xdr:rowOff>142875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CF6D016-B8EB-4EF9-AE2F-EB0A79B5E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opLeftCell="A2" workbookViewId="0">
      <selection activeCell="C14" sqref="C8:C14"/>
    </sheetView>
  </sheetViews>
  <sheetFormatPr defaultRowHeight="14" x14ac:dyDescent="0.25"/>
  <cols>
    <col min="3" max="3" width="5.6328125" bestFit="1" customWidth="1"/>
    <col min="4" max="5" width="5.6328125" customWidth="1"/>
  </cols>
  <sheetData>
    <row r="1" spans="1:8" x14ac:dyDescent="0.25">
      <c r="B1" t="s">
        <v>0</v>
      </c>
    </row>
    <row r="2" spans="1:8" x14ac:dyDescent="0.25">
      <c r="A2">
        <v>13294</v>
      </c>
      <c r="B2">
        <v>193</v>
      </c>
      <c r="C2">
        <v>193</v>
      </c>
      <c r="D2">
        <f>C2-B2</f>
        <v>0</v>
      </c>
    </row>
    <row r="3" spans="1:8" x14ac:dyDescent="0.25">
      <c r="A3">
        <v>14054</v>
      </c>
      <c r="B3">
        <v>343</v>
      </c>
      <c r="C3">
        <v>342</v>
      </c>
      <c r="D3">
        <f t="shared" ref="D3:D20" si="0">C3-B3</f>
        <v>-1</v>
      </c>
      <c r="F3">
        <f>A3-A2</f>
        <v>760</v>
      </c>
    </row>
    <row r="4" spans="1:8" x14ac:dyDescent="0.25">
      <c r="B4">
        <v>493</v>
      </c>
      <c r="C4">
        <v>495</v>
      </c>
      <c r="D4">
        <f t="shared" si="0"/>
        <v>2</v>
      </c>
    </row>
    <row r="5" spans="1:8" x14ac:dyDescent="0.25">
      <c r="A5">
        <v>15579</v>
      </c>
      <c r="B5">
        <v>643</v>
      </c>
      <c r="C5">
        <v>641</v>
      </c>
      <c r="D5">
        <f t="shared" si="0"/>
        <v>-2</v>
      </c>
    </row>
    <row r="6" spans="1:8" x14ac:dyDescent="0.25">
      <c r="A6">
        <v>16364</v>
      </c>
      <c r="B6">
        <v>793</v>
      </c>
      <c r="C6">
        <v>795</v>
      </c>
      <c r="D6">
        <f t="shared" si="0"/>
        <v>2</v>
      </c>
    </row>
    <row r="7" spans="1:8" x14ac:dyDescent="0.25">
      <c r="A7">
        <v>17124</v>
      </c>
      <c r="B7">
        <v>943</v>
      </c>
      <c r="C7">
        <v>944</v>
      </c>
      <c r="D7">
        <f t="shared" si="0"/>
        <v>1</v>
      </c>
      <c r="F7">
        <f t="shared" ref="F7:F20" si="1">A7-A6</f>
        <v>760</v>
      </c>
    </row>
    <row r="8" spans="1:8" x14ac:dyDescent="0.25">
      <c r="A8">
        <v>17887</v>
      </c>
      <c r="B8" s="1">
        <v>1093</v>
      </c>
      <c r="C8">
        <v>1096</v>
      </c>
      <c r="D8">
        <f t="shared" si="0"/>
        <v>3</v>
      </c>
      <c r="F8">
        <f t="shared" si="1"/>
        <v>763</v>
      </c>
    </row>
    <row r="9" spans="1:8" x14ac:dyDescent="0.25">
      <c r="A9">
        <v>18666</v>
      </c>
      <c r="B9">
        <v>1243</v>
      </c>
      <c r="C9">
        <v>1246</v>
      </c>
      <c r="D9">
        <f t="shared" si="0"/>
        <v>3</v>
      </c>
      <c r="F9">
        <f t="shared" si="1"/>
        <v>779</v>
      </c>
    </row>
    <row r="10" spans="1:8" x14ac:dyDescent="0.25">
      <c r="A10">
        <v>19413</v>
      </c>
      <c r="B10">
        <v>1393</v>
      </c>
      <c r="C10">
        <v>1396</v>
      </c>
      <c r="D10">
        <f t="shared" si="0"/>
        <v>3</v>
      </c>
      <c r="F10">
        <f t="shared" si="1"/>
        <v>747</v>
      </c>
    </row>
    <row r="11" spans="1:8" x14ac:dyDescent="0.25">
      <c r="A11" s="1">
        <v>20189</v>
      </c>
      <c r="B11">
        <v>1543</v>
      </c>
      <c r="C11">
        <v>1545</v>
      </c>
      <c r="D11">
        <f t="shared" si="0"/>
        <v>2</v>
      </c>
      <c r="F11">
        <f t="shared" si="1"/>
        <v>776</v>
      </c>
    </row>
    <row r="12" spans="1:8" x14ac:dyDescent="0.25">
      <c r="A12" s="1">
        <v>20937</v>
      </c>
      <c r="B12">
        <v>1693</v>
      </c>
      <c r="C12">
        <v>1695</v>
      </c>
      <c r="D12">
        <f t="shared" si="0"/>
        <v>2</v>
      </c>
      <c r="F12">
        <f t="shared" si="1"/>
        <v>748</v>
      </c>
    </row>
    <row r="13" spans="1:8" x14ac:dyDescent="0.25">
      <c r="A13">
        <v>21700</v>
      </c>
      <c r="B13">
        <v>1843</v>
      </c>
      <c r="C13" s="2">
        <v>1845</v>
      </c>
      <c r="D13">
        <f t="shared" si="0"/>
        <v>2</v>
      </c>
      <c r="F13">
        <f t="shared" si="1"/>
        <v>763</v>
      </c>
    </row>
    <row r="14" spans="1:8" x14ac:dyDescent="0.25">
      <c r="A14">
        <v>22482</v>
      </c>
      <c r="B14">
        <v>1993</v>
      </c>
      <c r="C14">
        <v>1995</v>
      </c>
      <c r="D14">
        <f t="shared" si="0"/>
        <v>2</v>
      </c>
      <c r="E14">
        <f>AVERAGE(D8:D14)</f>
        <v>2.4285714285714284</v>
      </c>
      <c r="F14">
        <f t="shared" si="1"/>
        <v>782</v>
      </c>
    </row>
    <row r="15" spans="1:8" x14ac:dyDescent="0.25">
      <c r="A15">
        <v>23240</v>
      </c>
      <c r="B15">
        <v>2143</v>
      </c>
      <c r="C15">
        <v>2144</v>
      </c>
      <c r="D15">
        <f t="shared" si="0"/>
        <v>1</v>
      </c>
      <c r="F15">
        <f t="shared" si="1"/>
        <v>758</v>
      </c>
      <c r="G15">
        <f>A6-A5</f>
        <v>785</v>
      </c>
    </row>
    <row r="16" spans="1:8" x14ac:dyDescent="0.25">
      <c r="A16">
        <v>23998</v>
      </c>
      <c r="B16">
        <v>2293</v>
      </c>
      <c r="C16">
        <v>2294</v>
      </c>
      <c r="D16">
        <f t="shared" si="0"/>
        <v>1</v>
      </c>
      <c r="F16">
        <f t="shared" si="1"/>
        <v>758</v>
      </c>
      <c r="H16">
        <f>5/3</f>
        <v>1.6666666666666667</v>
      </c>
    </row>
    <row r="17" spans="1:6" x14ac:dyDescent="0.25">
      <c r="A17">
        <v>24751</v>
      </c>
      <c r="B17">
        <v>2443</v>
      </c>
      <c r="D17">
        <f t="shared" si="0"/>
        <v>-2443</v>
      </c>
      <c r="F17">
        <f t="shared" si="1"/>
        <v>753</v>
      </c>
    </row>
    <row r="18" spans="1:6" x14ac:dyDescent="0.25">
      <c r="A18" s="1"/>
      <c r="B18">
        <v>2593</v>
      </c>
      <c r="C18">
        <v>2593</v>
      </c>
      <c r="D18">
        <f t="shared" si="0"/>
        <v>0</v>
      </c>
      <c r="F18">
        <f t="shared" si="1"/>
        <v>-24751</v>
      </c>
    </row>
    <row r="19" spans="1:6" x14ac:dyDescent="0.25">
      <c r="A19">
        <v>26298</v>
      </c>
      <c r="B19">
        <v>2743</v>
      </c>
      <c r="D19">
        <f t="shared" si="0"/>
        <v>-2743</v>
      </c>
      <c r="F19">
        <f t="shared" si="1"/>
        <v>26298</v>
      </c>
    </row>
    <row r="20" spans="1:6" x14ac:dyDescent="0.25">
      <c r="B20">
        <v>2893</v>
      </c>
      <c r="D20">
        <f t="shared" si="0"/>
        <v>-2893</v>
      </c>
      <c r="F20">
        <f t="shared" si="1"/>
        <v>-26298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>
      <selection activeCell="D12" sqref="D12"/>
    </sheetView>
  </sheetViews>
  <sheetFormatPr defaultRowHeight="14" x14ac:dyDescent="0.25"/>
  <cols>
    <col min="4" max="4" width="13.54296875" style="3" bestFit="1" customWidth="1"/>
  </cols>
  <sheetData>
    <row r="1" spans="1:3" x14ac:dyDescent="0.25">
      <c r="A1">
        <v>42.3</v>
      </c>
    </row>
    <row r="2" spans="1:3" x14ac:dyDescent="0.25">
      <c r="A2">
        <f>150+A1</f>
        <v>192.3</v>
      </c>
      <c r="B2">
        <v>193</v>
      </c>
      <c r="C2">
        <f>1.00135376756066*B2 + 3.48400547345036-A2</f>
        <v>4.4452826126577634</v>
      </c>
    </row>
    <row r="3" spans="1:3" x14ac:dyDescent="0.25">
      <c r="A3">
        <f>A2+150</f>
        <v>342.3</v>
      </c>
      <c r="B3">
        <v>346</v>
      </c>
      <c r="C3">
        <f t="shared" ref="C3:C31" si="0">1.00135376756066*B3 + 3.48400547345036-A3</f>
        <v>7.6524090494386883</v>
      </c>
    </row>
    <row r="4" spans="1:3" x14ac:dyDescent="0.25">
      <c r="A4">
        <f t="shared" ref="A4:A31" si="1">A3+150</f>
        <v>492.3</v>
      </c>
      <c r="B4">
        <v>496</v>
      </c>
      <c r="C4">
        <f t="shared" si="0"/>
        <v>7.8554741835377513</v>
      </c>
    </row>
    <row r="5" spans="1:3" x14ac:dyDescent="0.25">
      <c r="A5">
        <f t="shared" si="1"/>
        <v>642.29999999999995</v>
      </c>
      <c r="B5">
        <v>646</v>
      </c>
      <c r="C5">
        <f t="shared" si="0"/>
        <v>8.0585393176368143</v>
      </c>
    </row>
    <row r="6" spans="1:3" x14ac:dyDescent="0.25">
      <c r="A6">
        <f t="shared" si="1"/>
        <v>792.3</v>
      </c>
      <c r="B6">
        <v>795</v>
      </c>
      <c r="C6">
        <f t="shared" si="0"/>
        <v>7.260250684175162</v>
      </c>
    </row>
    <row r="7" spans="1:3" x14ac:dyDescent="0.25">
      <c r="A7">
        <f t="shared" si="1"/>
        <v>942.3</v>
      </c>
      <c r="B7">
        <v>945</v>
      </c>
      <c r="C7">
        <f t="shared" si="0"/>
        <v>7.4633158182741681</v>
      </c>
    </row>
    <row r="8" spans="1:3" x14ac:dyDescent="0.25">
      <c r="A8">
        <f t="shared" si="1"/>
        <v>1092.3</v>
      </c>
      <c r="B8">
        <v>1099</v>
      </c>
      <c r="C8">
        <f t="shared" si="0"/>
        <v>11.671796022616036</v>
      </c>
    </row>
    <row r="9" spans="1:3" x14ac:dyDescent="0.25">
      <c r="A9">
        <f t="shared" si="1"/>
        <v>1242.3</v>
      </c>
      <c r="B9">
        <v>1248</v>
      </c>
      <c r="C9">
        <f t="shared" si="0"/>
        <v>10.873507389154383</v>
      </c>
    </row>
    <row r="10" spans="1:3" x14ac:dyDescent="0.25">
      <c r="A10">
        <f t="shared" si="1"/>
        <v>1392.3</v>
      </c>
      <c r="B10">
        <v>1398</v>
      </c>
      <c r="C10">
        <f t="shared" si="0"/>
        <v>11.07657252325339</v>
      </c>
    </row>
    <row r="11" spans="1:3" x14ac:dyDescent="0.25">
      <c r="A11">
        <f t="shared" si="1"/>
        <v>1542.3</v>
      </c>
      <c r="B11">
        <v>1551</v>
      </c>
      <c r="C11">
        <f t="shared" si="0"/>
        <v>14.283698960034371</v>
      </c>
    </row>
    <row r="12" spans="1:3" x14ac:dyDescent="0.25">
      <c r="A12">
        <f t="shared" si="1"/>
        <v>1692.3</v>
      </c>
      <c r="B12">
        <v>1701</v>
      </c>
      <c r="C12">
        <f t="shared" si="0"/>
        <v>14.486764094133378</v>
      </c>
    </row>
    <row r="13" spans="1:3" x14ac:dyDescent="0.25">
      <c r="A13">
        <f t="shared" si="1"/>
        <v>1842.3</v>
      </c>
      <c r="B13">
        <v>1850</v>
      </c>
      <c r="C13">
        <f t="shared" si="0"/>
        <v>13.688475460671725</v>
      </c>
    </row>
    <row r="14" spans="1:3" x14ac:dyDescent="0.25">
      <c r="A14">
        <f t="shared" si="1"/>
        <v>1992.3</v>
      </c>
      <c r="B14">
        <v>2000</v>
      </c>
      <c r="C14">
        <f t="shared" si="0"/>
        <v>13.891540594770731</v>
      </c>
    </row>
    <row r="15" spans="1:3" x14ac:dyDescent="0.25">
      <c r="A15">
        <f t="shared" si="1"/>
        <v>2142.3000000000002</v>
      </c>
      <c r="B15">
        <v>2150</v>
      </c>
      <c r="C15">
        <f t="shared" si="0"/>
        <v>14.094605728869283</v>
      </c>
    </row>
    <row r="16" spans="1:3" x14ac:dyDescent="0.25">
      <c r="A16">
        <f t="shared" si="1"/>
        <v>2292.3000000000002</v>
      </c>
      <c r="B16">
        <v>2299</v>
      </c>
      <c r="C16">
        <f t="shared" si="0"/>
        <v>13.29631709540763</v>
      </c>
    </row>
    <row r="17" spans="1:3" x14ac:dyDescent="0.25">
      <c r="A17">
        <f t="shared" si="1"/>
        <v>2442.3000000000002</v>
      </c>
      <c r="B17">
        <v>2450</v>
      </c>
      <c r="C17">
        <f t="shared" si="0"/>
        <v>14.500735997067295</v>
      </c>
    </row>
    <row r="18" spans="1:3" x14ac:dyDescent="0.25">
      <c r="A18">
        <f t="shared" si="1"/>
        <v>2592.3000000000002</v>
      </c>
      <c r="B18">
        <v>2599</v>
      </c>
      <c r="C18">
        <f t="shared" si="0"/>
        <v>13.702447363605643</v>
      </c>
    </row>
    <row r="19" spans="1:3" x14ac:dyDescent="0.25">
      <c r="A19">
        <f t="shared" si="1"/>
        <v>2742.3</v>
      </c>
      <c r="B19">
        <v>2748</v>
      </c>
      <c r="C19">
        <f t="shared" si="0"/>
        <v>12.90415873014399</v>
      </c>
    </row>
    <row r="20" spans="1:3" x14ac:dyDescent="0.25">
      <c r="A20">
        <f t="shared" si="1"/>
        <v>2892.3</v>
      </c>
      <c r="B20">
        <v>2898</v>
      </c>
      <c r="C20">
        <f t="shared" si="0"/>
        <v>13.107223864243224</v>
      </c>
    </row>
    <row r="21" spans="1:3" x14ac:dyDescent="0.25">
      <c r="A21">
        <f t="shared" si="1"/>
        <v>3042.3</v>
      </c>
      <c r="B21">
        <v>3049</v>
      </c>
      <c r="C21">
        <f t="shared" si="0"/>
        <v>14.311642765902889</v>
      </c>
    </row>
    <row r="22" spans="1:3" x14ac:dyDescent="0.25">
      <c r="A22">
        <f t="shared" si="1"/>
        <v>3192.3</v>
      </c>
      <c r="B22">
        <v>3199</v>
      </c>
      <c r="C22">
        <f t="shared" si="0"/>
        <v>14.514707900001667</v>
      </c>
    </row>
    <row r="23" spans="1:3" x14ac:dyDescent="0.25">
      <c r="A23">
        <f t="shared" si="1"/>
        <v>3342.3</v>
      </c>
      <c r="B23">
        <v>3352</v>
      </c>
      <c r="C23">
        <f t="shared" si="0"/>
        <v>17.721834336782649</v>
      </c>
    </row>
    <row r="24" spans="1:3" x14ac:dyDescent="0.25">
      <c r="A24">
        <f t="shared" si="1"/>
        <v>3492.3</v>
      </c>
      <c r="B24">
        <v>3501</v>
      </c>
      <c r="C24">
        <f t="shared" si="0"/>
        <v>16.923545703320997</v>
      </c>
    </row>
    <row r="25" spans="1:3" x14ac:dyDescent="0.25">
      <c r="A25">
        <f t="shared" si="1"/>
        <v>3642.3</v>
      </c>
      <c r="B25">
        <v>3651</v>
      </c>
      <c r="C25">
        <f t="shared" si="0"/>
        <v>17.12661083742023</v>
      </c>
    </row>
    <row r="26" spans="1:3" x14ac:dyDescent="0.25">
      <c r="A26">
        <f t="shared" si="1"/>
        <v>3792.3</v>
      </c>
      <c r="B26">
        <v>3801</v>
      </c>
      <c r="C26">
        <f t="shared" si="0"/>
        <v>17.329675971519009</v>
      </c>
    </row>
    <row r="27" spans="1:3" x14ac:dyDescent="0.25">
      <c r="A27">
        <f t="shared" si="1"/>
        <v>3942.3</v>
      </c>
      <c r="B27">
        <v>3950</v>
      </c>
      <c r="C27">
        <f t="shared" si="0"/>
        <v>16.531387338057812</v>
      </c>
    </row>
    <row r="28" spans="1:3" x14ac:dyDescent="0.25">
      <c r="A28">
        <f t="shared" si="1"/>
        <v>4092.3</v>
      </c>
      <c r="B28">
        <v>4101</v>
      </c>
      <c r="C28">
        <f t="shared" si="0"/>
        <v>17.735806239717022</v>
      </c>
    </row>
    <row r="29" spans="1:3" x14ac:dyDescent="0.25">
      <c r="A29">
        <f t="shared" si="1"/>
        <v>4242.3</v>
      </c>
      <c r="B29">
        <v>4250</v>
      </c>
      <c r="C29">
        <f t="shared" si="0"/>
        <v>16.937517606255824</v>
      </c>
    </row>
    <row r="30" spans="1:3" x14ac:dyDescent="0.25">
      <c r="A30">
        <f t="shared" si="1"/>
        <v>4392.3</v>
      </c>
      <c r="C30">
        <f t="shared" si="0"/>
        <v>-4388.8159945265497</v>
      </c>
    </row>
    <row r="31" spans="1:3" x14ac:dyDescent="0.25">
      <c r="A31">
        <f t="shared" si="1"/>
        <v>4542.3</v>
      </c>
      <c r="C31">
        <f t="shared" si="0"/>
        <v>-4538.8159945265497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tabSelected="1" workbookViewId="0">
      <selection activeCell="G5" sqref="G5"/>
    </sheetView>
  </sheetViews>
  <sheetFormatPr defaultRowHeight="14" x14ac:dyDescent="0.25"/>
  <cols>
    <col min="5" max="5" width="13.54296875" style="3" bestFit="1" customWidth="1"/>
  </cols>
  <sheetData>
    <row r="1" spans="1:6" x14ac:dyDescent="0.25">
      <c r="B1">
        <v>42.3</v>
      </c>
    </row>
    <row r="2" spans="1:6" x14ac:dyDescent="0.25">
      <c r="A2">
        <v>193</v>
      </c>
      <c r="B2">
        <v>192.3</v>
      </c>
      <c r="C2">
        <f>0.9985597061*A2- 3.3459225835 -B2</f>
        <v>-2.9238993062000134</v>
      </c>
    </row>
    <row r="3" spans="1:6" x14ac:dyDescent="0.25">
      <c r="A3">
        <v>346</v>
      </c>
      <c r="B3">
        <v>342.3</v>
      </c>
      <c r="C3">
        <f t="shared" ref="C3:C31" si="0">0.9985597061*A3- 3.3459225835 -B3</f>
        <v>-0.14426427289998855</v>
      </c>
    </row>
    <row r="4" spans="1:6" x14ac:dyDescent="0.25">
      <c r="A4">
        <v>496</v>
      </c>
      <c r="B4">
        <v>492.3</v>
      </c>
      <c r="C4">
        <f t="shared" si="0"/>
        <v>-0.36030835790000992</v>
      </c>
    </row>
    <row r="5" spans="1:6" x14ac:dyDescent="0.25">
      <c r="A5">
        <v>646</v>
      </c>
      <c r="B5">
        <v>642.29999999999995</v>
      </c>
      <c r="C5">
        <f t="shared" si="0"/>
        <v>-0.57635244289997445</v>
      </c>
      <c r="E5" s="3">
        <v>1.0048473760000001</v>
      </c>
      <c r="F5">
        <v>0.9985597061</v>
      </c>
    </row>
    <row r="6" spans="1:6" x14ac:dyDescent="0.25">
      <c r="A6">
        <v>795</v>
      </c>
      <c r="B6">
        <v>792.3</v>
      </c>
      <c r="C6">
        <f t="shared" si="0"/>
        <v>-1.7909562339999638</v>
      </c>
    </row>
    <row r="7" spans="1:6" x14ac:dyDescent="0.25">
      <c r="A7">
        <v>945</v>
      </c>
      <c r="B7">
        <v>942.3</v>
      </c>
      <c r="C7">
        <f t="shared" si="0"/>
        <v>-2.0070003189999852</v>
      </c>
      <c r="E7" s="3">
        <f>E5*F5</f>
        <v>1.0034001004539164</v>
      </c>
    </row>
    <row r="8" spans="1:6" x14ac:dyDescent="0.25">
      <c r="A8">
        <v>1099</v>
      </c>
      <c r="B8">
        <v>1092.3</v>
      </c>
      <c r="C8">
        <f t="shared" si="0"/>
        <v>1.7711944204002066</v>
      </c>
    </row>
    <row r="9" spans="1:6" x14ac:dyDescent="0.25">
      <c r="A9">
        <v>1248</v>
      </c>
      <c r="B9">
        <v>1242.3</v>
      </c>
      <c r="C9">
        <f t="shared" si="0"/>
        <v>0.55659062930021719</v>
      </c>
    </row>
    <row r="10" spans="1:6" x14ac:dyDescent="0.25">
      <c r="A10">
        <v>1398</v>
      </c>
      <c r="B10">
        <v>1392.3</v>
      </c>
      <c r="C10">
        <f t="shared" si="0"/>
        <v>0.34054654430019582</v>
      </c>
    </row>
    <row r="11" spans="1:6" x14ac:dyDescent="0.25">
      <c r="A11">
        <v>1551</v>
      </c>
      <c r="B11">
        <v>1542.3</v>
      </c>
      <c r="C11">
        <f t="shared" si="0"/>
        <v>3.1201815776000785</v>
      </c>
    </row>
    <row r="12" spans="1:6" x14ac:dyDescent="0.25">
      <c r="A12">
        <v>1701</v>
      </c>
      <c r="B12">
        <v>1692.3</v>
      </c>
      <c r="C12">
        <f t="shared" si="0"/>
        <v>2.9041374926000572</v>
      </c>
    </row>
    <row r="13" spans="1:6" x14ac:dyDescent="0.25">
      <c r="A13">
        <v>1850</v>
      </c>
      <c r="B13">
        <v>1842.3</v>
      </c>
      <c r="C13">
        <f t="shared" si="0"/>
        <v>1.6895337015000678</v>
      </c>
    </row>
    <row r="14" spans="1:6" x14ac:dyDescent="0.25">
      <c r="A14">
        <v>2000</v>
      </c>
      <c r="B14">
        <v>1992.3</v>
      </c>
      <c r="C14">
        <f t="shared" si="0"/>
        <v>1.4734896165000464</v>
      </c>
    </row>
    <row r="15" spans="1:6" x14ac:dyDescent="0.25">
      <c r="A15">
        <v>2150</v>
      </c>
      <c r="B15">
        <v>2142.3000000000002</v>
      </c>
      <c r="C15">
        <f t="shared" si="0"/>
        <v>1.2574455314997977</v>
      </c>
    </row>
    <row r="16" spans="1:6" x14ac:dyDescent="0.25">
      <c r="A16">
        <v>2299</v>
      </c>
      <c r="B16">
        <v>2292.3000000000002</v>
      </c>
      <c r="C16">
        <f t="shared" si="0"/>
        <v>4.2841740400035633E-2</v>
      </c>
    </row>
    <row r="17" spans="1:3" x14ac:dyDescent="0.25">
      <c r="A17">
        <v>2450</v>
      </c>
      <c r="B17">
        <v>2442.3000000000002</v>
      </c>
      <c r="C17">
        <f t="shared" si="0"/>
        <v>0.82535736149975492</v>
      </c>
    </row>
    <row r="18" spans="1:3" x14ac:dyDescent="0.25">
      <c r="A18">
        <v>2599</v>
      </c>
      <c r="B18">
        <v>2592.3000000000002</v>
      </c>
      <c r="C18">
        <f t="shared" si="0"/>
        <v>-0.3892464296000071</v>
      </c>
    </row>
    <row r="19" spans="1:3" x14ac:dyDescent="0.25">
      <c r="A19">
        <v>2748</v>
      </c>
      <c r="B19">
        <v>2742.3</v>
      </c>
      <c r="C19">
        <f t="shared" si="0"/>
        <v>-1.6038502207002239</v>
      </c>
    </row>
    <row r="20" spans="1:3" x14ac:dyDescent="0.25">
      <c r="A20">
        <v>2898</v>
      </c>
      <c r="B20">
        <v>2892.3</v>
      </c>
      <c r="C20">
        <f t="shared" si="0"/>
        <v>-1.8198943057000179</v>
      </c>
    </row>
    <row r="21" spans="1:3" x14ac:dyDescent="0.25">
      <c r="A21">
        <v>3049</v>
      </c>
      <c r="B21">
        <v>3042.3</v>
      </c>
      <c r="C21">
        <f t="shared" si="0"/>
        <v>-1.0373786846002986</v>
      </c>
    </row>
    <row r="22" spans="1:3" x14ac:dyDescent="0.25">
      <c r="A22">
        <v>3199</v>
      </c>
      <c r="B22">
        <v>3192.3</v>
      </c>
      <c r="C22">
        <f t="shared" si="0"/>
        <v>-1.2534227696000926</v>
      </c>
    </row>
    <row r="23" spans="1:3" x14ac:dyDescent="0.25">
      <c r="A23">
        <v>3352</v>
      </c>
      <c r="B23">
        <v>3342.3</v>
      </c>
      <c r="C23">
        <f t="shared" si="0"/>
        <v>1.5262122637000175</v>
      </c>
    </row>
    <row r="24" spans="1:3" x14ac:dyDescent="0.25">
      <c r="A24">
        <v>3501</v>
      </c>
      <c r="B24">
        <v>3492.3</v>
      </c>
      <c r="C24">
        <f t="shared" si="0"/>
        <v>0.31160847259980073</v>
      </c>
    </row>
    <row r="25" spans="1:3" x14ac:dyDescent="0.25">
      <c r="A25">
        <v>3651</v>
      </c>
      <c r="B25">
        <v>3642.3</v>
      </c>
      <c r="C25">
        <f t="shared" si="0"/>
        <v>9.5564387600006739E-2</v>
      </c>
    </row>
    <row r="26" spans="1:3" x14ac:dyDescent="0.25">
      <c r="A26">
        <v>3801</v>
      </c>
      <c r="B26">
        <v>3792.3</v>
      </c>
      <c r="C26">
        <f t="shared" si="0"/>
        <v>-0.120479697400242</v>
      </c>
    </row>
    <row r="27" spans="1:3" x14ac:dyDescent="0.25">
      <c r="A27">
        <v>3950</v>
      </c>
      <c r="B27">
        <v>3942.3</v>
      </c>
      <c r="C27">
        <f t="shared" si="0"/>
        <v>-1.335083488500004</v>
      </c>
    </row>
    <row r="28" spans="1:3" x14ac:dyDescent="0.25">
      <c r="A28">
        <v>4101</v>
      </c>
      <c r="B28">
        <v>4092.3</v>
      </c>
      <c r="C28">
        <f t="shared" si="0"/>
        <v>-0.55256786740028474</v>
      </c>
    </row>
    <row r="29" spans="1:3" x14ac:dyDescent="0.25">
      <c r="A29">
        <v>4250</v>
      </c>
      <c r="B29">
        <v>4242.3</v>
      </c>
      <c r="C29">
        <f t="shared" si="0"/>
        <v>-1.7671716585009563</v>
      </c>
    </row>
    <row r="30" spans="1:3" x14ac:dyDescent="0.25">
      <c r="B30">
        <v>4392.3</v>
      </c>
      <c r="C30">
        <f t="shared" si="0"/>
        <v>-4395.6459225835006</v>
      </c>
    </row>
    <row r="31" spans="1:3" x14ac:dyDescent="0.25">
      <c r="B31">
        <v>4542.3</v>
      </c>
      <c r="C31">
        <f t="shared" si="0"/>
        <v>-4545.6459225835006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4号</vt:lpstr>
      <vt:lpstr>5号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2021-03-17T08:35:19Z</dcterms:created>
  <dcterms:modified xsi:type="dcterms:W3CDTF">2021-03-18T09:10:05Z</dcterms:modified>
</cp:coreProperties>
</file>